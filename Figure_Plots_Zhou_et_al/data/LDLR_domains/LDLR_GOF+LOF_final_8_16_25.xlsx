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z997/Library/CloudStorage/GoogleDrive-pzhou1729@gmail.com/My Drive/Sherwood Lab (Phil)/LDLR prime editing followup/Working on the paper/"/>
    </mc:Choice>
  </mc:AlternateContent>
  <xr:revisionPtr revIDLastSave="0" documentId="13_ncr:1_{79DDE854-A423-F74C-A7CC-8D4F76B8C34D}" xr6:coauthVersionLast="47" xr6:coauthVersionMax="47" xr10:uidLastSave="{00000000-0000-0000-0000-000000000000}"/>
  <bookViews>
    <workbookView xWindow="12540" yWindow="5000" windowWidth="17700" windowHeight="12840" xr2:uid="{0A560CDE-7B0D-9A4E-AF59-91F724C70F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14" i="1"/>
  <c r="C3" i="1"/>
  <c r="C5" i="1"/>
  <c r="C6" i="1"/>
  <c r="C8" i="1"/>
  <c r="C9" i="1"/>
  <c r="C10" i="1"/>
  <c r="C12" i="1"/>
  <c r="C2" i="1"/>
</calcChain>
</file>

<file path=xl/sharedStrings.xml><?xml version="1.0" encoding="utf-8"?>
<sst xmlns="http://schemas.openxmlformats.org/spreadsheetml/2006/main" count="47" uniqueCount="18">
  <si>
    <t>GOF variants installed</t>
  </si>
  <si>
    <t>LOF variants installed</t>
  </si>
  <si>
    <t>G219D</t>
  </si>
  <si>
    <t>D221G</t>
  </si>
  <si>
    <t>S213L_G219D</t>
  </si>
  <si>
    <t>wt</t>
  </si>
  <si>
    <t>D227E</t>
  </si>
  <si>
    <t>S213L</t>
  </si>
  <si>
    <t>S213L_G219D_K223E</t>
  </si>
  <si>
    <t>E101K</t>
  </si>
  <si>
    <t>E240K</t>
  </si>
  <si>
    <t>073025 rep 1</t>
  </si>
  <si>
    <t>073025 rep 2</t>
  </si>
  <si>
    <t>073025 rep 3</t>
  </si>
  <si>
    <t>081325 rep 1</t>
  </si>
  <si>
    <t>081325 rep 2</t>
  </si>
  <si>
    <t>081325 rep 3</t>
  </si>
  <si>
    <t>Construct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</si>
</sst>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ourier New"/>
      <family val="1"/>
    </font>
    <font>
      <sz val="12"/>
      <color theme="1"/>
      <name val="Helvetica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 applyAlignment="1">
      <alignment wrapText="1"/>
    </xf>
    <xf numFmtId="0" fontId="2" fillId="0" borderId="0" xfId="1" applyFont="1"/>
    <xf numFmtId="0" fontId="2" fillId="0" borderId="0" xfId="0" applyFont="1" applyAlignment="1">
      <alignment vertical="center" wrapText="1"/>
    </xf>
    <xf numFmtId="0" fontId="3" fillId="0" borderId="0" xfId="1" applyFont="1"/>
    <xf numFmtId="0" fontId="2" fillId="0" borderId="1" xfId="1" applyFont="1" applyBorder="1"/>
    <xf numFmtId="0" fontId="3" fillId="0" borderId="1" xfId="1" applyFont="1" applyBorder="1"/>
    <xf numFmtId="0" fontId="4" fillId="0" borderId="0" xfId="1" applyFont="1"/>
    <xf numFmtId="164" fontId="0" fillId="0" borderId="0" xfId="0" applyNumberFormat="1" applyAlignment="1">
      <alignment wrapText="1"/>
    </xf>
    <xf numFmtId="164" fontId="0" fillId="0" borderId="0" xfId="0" applyNumberFormat="1"/>
  </cellXfs>
  <cellStyles count="2">
    <cellStyle name="Normal" xfId="0" builtinId="0"/>
    <cellStyle name="Normal 2" xfId="1" xr:uid="{5CDA13C9-2372-5845-8986-6888BCA997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0EB8-E868-2041-B36A-2A5538D584DF}">
  <dimension ref="A1:I28"/>
  <sheetViews>
    <sheetView tabSelected="1" workbookViewId="0">
      <selection activeCell="C2" sqref="C2"/>
    </sheetView>
  </sheetViews>
  <sheetFormatPr baseColWidth="10" defaultRowHeight="16" x14ac:dyDescent="0.2"/>
  <cols>
    <col min="3" max="3" width="29.33203125" customWidth="1"/>
  </cols>
  <sheetData>
    <row r="1" spans="1:9" ht="51" x14ac:dyDescent="0.2">
      <c r="A1" s="1" t="s">
        <v>0</v>
      </c>
      <c r="B1" s="1" t="s">
        <v>1</v>
      </c>
      <c r="C1" s="1" t="s">
        <v>17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</row>
    <row r="2" spans="1:9" x14ac:dyDescent="0.2">
      <c r="A2" s="2" t="s">
        <v>2</v>
      </c>
      <c r="B2" s="2" t="s">
        <v>3</v>
      </c>
      <c r="C2" s="2" t="str">
        <f>_xlfn.CONCAT(A2,"_",B2)</f>
        <v>G219D_D221G</v>
      </c>
      <c r="D2" s="9">
        <v>0.13789733132921156</v>
      </c>
      <c r="E2" s="9">
        <v>0.33599276268891898</v>
      </c>
      <c r="F2" s="9">
        <v>0.14623256667976503</v>
      </c>
      <c r="G2" s="9">
        <v>0.27909189215036578</v>
      </c>
      <c r="H2" s="9">
        <v>0.15940109626857546</v>
      </c>
      <c r="I2" s="9">
        <v>-4.3749413020609973E-2</v>
      </c>
    </row>
    <row r="3" spans="1:9" ht="32" x14ac:dyDescent="0.2">
      <c r="A3" s="3" t="s">
        <v>4</v>
      </c>
      <c r="B3" s="3" t="s">
        <v>3</v>
      </c>
      <c r="C3" s="2" t="str">
        <f t="shared" ref="C3:C14" si="0">_xlfn.CONCAT(A3,"_",B3)</f>
        <v>S213L_G219D_D221G</v>
      </c>
      <c r="D3" s="9"/>
      <c r="E3" s="9"/>
      <c r="F3" s="9"/>
      <c r="G3" s="9">
        <v>0.21221627986050562</v>
      </c>
      <c r="H3" s="9">
        <v>0.29337736961919791</v>
      </c>
      <c r="I3" s="9">
        <v>0.35035966946419839</v>
      </c>
    </row>
    <row r="4" spans="1:9" ht="17" thickBot="1" x14ac:dyDescent="0.25">
      <c r="A4" s="4" t="s">
        <v>5</v>
      </c>
      <c r="B4" s="4" t="s">
        <v>3</v>
      </c>
      <c r="C4" s="4" t="s">
        <v>3</v>
      </c>
      <c r="D4" s="9">
        <v>-0.40554931852916076</v>
      </c>
      <c r="E4" s="9">
        <v>-0.49569150383948957</v>
      </c>
      <c r="F4" s="9">
        <v>-0.41156086567678996</v>
      </c>
      <c r="G4" s="9">
        <v>-0.13308521205246238</v>
      </c>
      <c r="H4" s="9">
        <v>-0.18598202902697003</v>
      </c>
      <c r="I4" s="9">
        <v>-0.26716833388170236</v>
      </c>
    </row>
    <row r="5" spans="1:9" ht="17" thickBot="1" x14ac:dyDescent="0.25">
      <c r="A5" s="5" t="s">
        <v>2</v>
      </c>
      <c r="B5" s="5" t="s">
        <v>6</v>
      </c>
      <c r="C5" s="2" t="str">
        <f t="shared" si="0"/>
        <v>G219D_D227E</v>
      </c>
      <c r="D5" s="9">
        <v>-0.26918404093911974</v>
      </c>
      <c r="E5" s="9">
        <v>-0.32088601609073097</v>
      </c>
      <c r="F5" s="9">
        <v>-0.19340068579520731</v>
      </c>
      <c r="G5" s="9">
        <v>3.5377989076560867E-2</v>
      </c>
      <c r="H5" s="9">
        <v>1.0248826911431363E-2</v>
      </c>
      <c r="I5" s="9">
        <v>6.849899409669824E-2</v>
      </c>
    </row>
    <row r="6" spans="1:9" ht="17" thickBot="1" x14ac:dyDescent="0.25">
      <c r="A6" s="5" t="s">
        <v>4</v>
      </c>
      <c r="B6" s="5" t="s">
        <v>6</v>
      </c>
      <c r="C6" s="2" t="str">
        <f t="shared" si="0"/>
        <v>S213L_G219D_D227E</v>
      </c>
      <c r="D6" s="9">
        <v>-0.29895686660078702</v>
      </c>
      <c r="E6" s="9">
        <v>-0.26687949803817701</v>
      </c>
      <c r="F6" s="9">
        <v>-0.28272864063394776</v>
      </c>
      <c r="G6" s="9">
        <v>-0.1315825046553456</v>
      </c>
      <c r="H6" s="9">
        <v>-0.28654819479771487</v>
      </c>
      <c r="I6" s="9">
        <v>-0.22578029564810542</v>
      </c>
    </row>
    <row r="7" spans="1:9" ht="17" thickBot="1" x14ac:dyDescent="0.25">
      <c r="A7" s="6" t="s">
        <v>5</v>
      </c>
      <c r="B7" s="6" t="s">
        <v>6</v>
      </c>
      <c r="C7" s="6" t="s">
        <v>6</v>
      </c>
      <c r="D7" s="9">
        <v>-0.66873772400631171</v>
      </c>
      <c r="E7" s="9">
        <v>-0.81484049128803671</v>
      </c>
      <c r="F7" s="9">
        <v>-0.85670797523536013</v>
      </c>
      <c r="G7" s="9">
        <v>-0.15512793445107542</v>
      </c>
      <c r="H7" s="9">
        <v>-0.29670077817356177</v>
      </c>
      <c r="I7" s="9">
        <v>-0.33331529399933602</v>
      </c>
    </row>
    <row r="8" spans="1:9" x14ac:dyDescent="0.2">
      <c r="A8" s="3" t="s">
        <v>2</v>
      </c>
      <c r="B8" s="3" t="s">
        <v>9</v>
      </c>
      <c r="C8" s="2" t="str">
        <f t="shared" si="0"/>
        <v>G219D_E101K</v>
      </c>
      <c r="D8" s="9"/>
      <c r="E8" s="9"/>
      <c r="F8" s="9"/>
      <c r="G8" s="9">
        <v>0.36481397722031761</v>
      </c>
      <c r="H8" s="9">
        <v>0.44845507481425084</v>
      </c>
      <c r="I8" s="9">
        <v>0.22150332177110088</v>
      </c>
    </row>
    <row r="9" spans="1:9" x14ac:dyDescent="0.2">
      <c r="A9" s="2" t="s">
        <v>7</v>
      </c>
      <c r="B9" s="2" t="s">
        <v>9</v>
      </c>
      <c r="C9" s="2" t="str">
        <f t="shared" si="0"/>
        <v>S213L_E101K</v>
      </c>
      <c r="D9" s="9">
        <v>2.2693979714214496E-3</v>
      </c>
      <c r="E9" s="9">
        <v>-0.15896881964626242</v>
      </c>
      <c r="F9" s="9">
        <v>-0.22242471734061575</v>
      </c>
      <c r="G9" s="9">
        <v>0.18969185833136759</v>
      </c>
      <c r="H9" s="9">
        <v>8.2846839156794028E-2</v>
      </c>
      <c r="I9" s="9">
        <v>8.0723175819112258E-2</v>
      </c>
    </row>
    <row r="10" spans="1:9" ht="48" x14ac:dyDescent="0.2">
      <c r="A10" s="3" t="s">
        <v>8</v>
      </c>
      <c r="B10" s="3" t="s">
        <v>9</v>
      </c>
      <c r="C10" s="2" t="str">
        <f t="shared" si="0"/>
        <v>S213L_G219D_K223E_E101K</v>
      </c>
      <c r="D10" s="9"/>
      <c r="E10" s="9"/>
      <c r="F10" s="9"/>
      <c r="G10" s="9">
        <v>0.90868749898979195</v>
      </c>
      <c r="H10" s="9">
        <v>0.76691961785869212</v>
      </c>
      <c r="I10" s="9">
        <v>0.75017886199149086</v>
      </c>
    </row>
    <row r="11" spans="1:9" x14ac:dyDescent="0.2">
      <c r="A11" s="4" t="s">
        <v>5</v>
      </c>
      <c r="B11" s="4" t="s">
        <v>9</v>
      </c>
      <c r="C11" s="4" t="s">
        <v>9</v>
      </c>
      <c r="D11" s="9">
        <v>-0.46688015730939592</v>
      </c>
      <c r="E11" s="9">
        <v>-0.55065256928085238</v>
      </c>
      <c r="F11" s="9">
        <v>-0.56305256865250874</v>
      </c>
      <c r="G11" s="9">
        <v>1.7864746244336427E-2</v>
      </c>
      <c r="H11" s="9">
        <v>-0.14247934564435916</v>
      </c>
      <c r="I11" s="9">
        <v>-0.10420591677282598</v>
      </c>
    </row>
    <row r="12" spans="1:9" x14ac:dyDescent="0.2">
      <c r="A12" s="2" t="s">
        <v>2</v>
      </c>
      <c r="B12" s="2" t="s">
        <v>10</v>
      </c>
      <c r="C12" s="2" t="str">
        <f t="shared" si="0"/>
        <v>G219D_E240K</v>
      </c>
      <c r="D12" s="9">
        <v>-3.5925405115517339E-2</v>
      </c>
      <c r="E12" s="9">
        <v>-2.934768834941015E-2</v>
      </c>
      <c r="F12" s="9">
        <v>-8.7449462038838188E-2</v>
      </c>
      <c r="G12" s="9">
        <v>0.23457503306622041</v>
      </c>
      <c r="H12" s="9">
        <v>0.27933874987838903</v>
      </c>
      <c r="I12" s="9">
        <v>0.17403111281989614</v>
      </c>
    </row>
    <row r="13" spans="1:9" x14ac:dyDescent="0.2">
      <c r="A13" s="2" t="s">
        <v>7</v>
      </c>
      <c r="B13" s="2" t="s">
        <v>10</v>
      </c>
      <c r="C13" s="2" t="str">
        <f>_xlfn.CONCAT(A13,"_",B13)</f>
        <v>S213L_E240K</v>
      </c>
      <c r="D13" s="9">
        <v>-0.23622019451947707</v>
      </c>
      <c r="E13" s="9">
        <v>-0.1726848937422969</v>
      </c>
      <c r="F13" s="9">
        <v>-1.8098781444919609E-4</v>
      </c>
      <c r="G13" s="9">
        <v>0.16380551920679332</v>
      </c>
      <c r="H13" s="9">
        <v>0.11195771598877791</v>
      </c>
      <c r="I13" s="9">
        <v>0.15086672566122061</v>
      </c>
    </row>
    <row r="14" spans="1:9" ht="48" x14ac:dyDescent="0.2">
      <c r="A14" s="3" t="s">
        <v>8</v>
      </c>
      <c r="B14" s="3" t="s">
        <v>10</v>
      </c>
      <c r="C14" s="2" t="str">
        <f t="shared" si="0"/>
        <v>S213L_G219D_K223E_E240K</v>
      </c>
      <c r="D14" s="9"/>
      <c r="E14" s="9"/>
      <c r="F14" s="9"/>
      <c r="G14" s="9">
        <v>0.78219454346272532</v>
      </c>
      <c r="H14" s="9">
        <v>0.70927384816648575</v>
      </c>
      <c r="I14" s="9">
        <v>0.85194656674696456</v>
      </c>
    </row>
    <row r="15" spans="1:9" x14ac:dyDescent="0.2">
      <c r="A15" s="4" t="s">
        <v>5</v>
      </c>
      <c r="B15" s="4" t="s">
        <v>10</v>
      </c>
      <c r="C15" s="4" t="s">
        <v>10</v>
      </c>
      <c r="D15" s="9">
        <v>-0.26930761369431444</v>
      </c>
      <c r="E15" s="9">
        <v>-0.35910932672909923</v>
      </c>
      <c r="F15" s="9">
        <v>-0.37273643284222047</v>
      </c>
      <c r="G15" s="9">
        <v>-0.14957863128774207</v>
      </c>
      <c r="H15" s="9">
        <v>-0.21747518856631687</v>
      </c>
      <c r="I15" s="9">
        <v>-0.25444344119153905</v>
      </c>
    </row>
    <row r="16" spans="1:9" x14ac:dyDescent="0.2">
      <c r="A16" s="7" t="s">
        <v>2</v>
      </c>
      <c r="B16" s="4" t="s">
        <v>5</v>
      </c>
      <c r="C16" s="7" t="s">
        <v>2</v>
      </c>
      <c r="D16" s="9">
        <v>-0.19198699291441335</v>
      </c>
      <c r="E16" s="9">
        <v>0.46303466227600532</v>
      </c>
      <c r="F16" s="9">
        <v>0.42020998895835393</v>
      </c>
      <c r="G16" s="9">
        <v>0.87122610278492751</v>
      </c>
      <c r="H16" s="9">
        <v>0.90042092756521552</v>
      </c>
      <c r="I16" s="9">
        <v>0.91332569619413362</v>
      </c>
    </row>
    <row r="17" spans="1:9" x14ac:dyDescent="0.2">
      <c r="A17" s="7" t="s">
        <v>5</v>
      </c>
      <c r="B17" s="4" t="s">
        <v>5</v>
      </c>
      <c r="C17" s="4" t="s">
        <v>5</v>
      </c>
      <c r="D17" s="9">
        <v>0</v>
      </c>
      <c r="E17" s="9">
        <v>-9.8684941118214464E-3</v>
      </c>
      <c r="F17" s="9">
        <v>3.0230404055501037E-2</v>
      </c>
      <c r="G17" s="9">
        <v>0</v>
      </c>
      <c r="H17" s="9">
        <v>5.2049820440548622E-2</v>
      </c>
      <c r="I17" s="9">
        <v>-0.13028952179952147</v>
      </c>
    </row>
    <row r="18" spans="1:9" x14ac:dyDescent="0.2">
      <c r="A18" s="7"/>
      <c r="B18" s="4"/>
      <c r="C18" s="4"/>
      <c r="D18" s="9"/>
      <c r="E18" s="9"/>
      <c r="F18" s="9"/>
      <c r="G18" s="9"/>
      <c r="H18" s="9"/>
      <c r="I18" s="9"/>
    </row>
    <row r="19" spans="1:9" x14ac:dyDescent="0.2">
      <c r="A19" s="7"/>
      <c r="B19" s="4"/>
      <c r="C19" s="4"/>
      <c r="D19" s="9"/>
      <c r="E19" s="9"/>
      <c r="F19" s="9"/>
      <c r="G19" s="9"/>
      <c r="H19" s="9"/>
      <c r="I19" s="9"/>
    </row>
    <row r="20" spans="1:9" x14ac:dyDescent="0.2">
      <c r="A20" s="7"/>
      <c r="B20" s="4"/>
      <c r="C20" s="4"/>
      <c r="D20" s="9"/>
      <c r="E20" s="9"/>
      <c r="F20" s="9"/>
      <c r="G20" s="9"/>
      <c r="H20" s="9"/>
      <c r="I20" s="9"/>
    </row>
    <row r="21" spans="1:9" x14ac:dyDescent="0.2">
      <c r="A21" s="7"/>
      <c r="B21" s="4"/>
      <c r="C21" s="4"/>
      <c r="D21" s="9"/>
      <c r="E21" s="9"/>
      <c r="F21" s="9"/>
      <c r="G21" s="9"/>
      <c r="H21" s="9"/>
      <c r="I21" s="9"/>
    </row>
    <row r="22" spans="1:9" x14ac:dyDescent="0.2">
      <c r="A22" s="7"/>
      <c r="B22" s="4"/>
      <c r="C22" s="4"/>
      <c r="D22" s="9"/>
      <c r="E22" s="9"/>
      <c r="F22" s="9"/>
      <c r="G22" s="9"/>
      <c r="H22" s="9"/>
      <c r="I22" s="9"/>
    </row>
    <row r="23" spans="1:9" x14ac:dyDescent="0.2">
      <c r="A23" s="7"/>
      <c r="B23" s="4"/>
      <c r="C23" s="4"/>
      <c r="D23" s="9"/>
      <c r="E23" s="9"/>
      <c r="F23" s="9"/>
      <c r="G23" s="9"/>
      <c r="H23" s="9"/>
      <c r="I23" s="9"/>
    </row>
    <row r="24" spans="1:9" x14ac:dyDescent="0.2">
      <c r="A24" s="7"/>
      <c r="B24" s="4"/>
      <c r="C24" s="4"/>
      <c r="D24" s="9"/>
      <c r="E24" s="9"/>
      <c r="F24" s="9"/>
      <c r="G24" s="9"/>
      <c r="H24" s="9"/>
      <c r="I24" s="9"/>
    </row>
    <row r="25" spans="1:9" x14ac:dyDescent="0.2">
      <c r="A25" s="7"/>
      <c r="B25" s="4"/>
      <c r="C25" s="4"/>
      <c r="D25" s="9"/>
      <c r="E25" s="9"/>
      <c r="F25" s="9"/>
      <c r="G25" s="9"/>
      <c r="H25" s="9"/>
      <c r="I25" s="9"/>
    </row>
    <row r="26" spans="1:9" x14ac:dyDescent="0.2">
      <c r="A26" s="7"/>
      <c r="B26" s="4"/>
      <c r="C26" s="4"/>
      <c r="D26" s="9"/>
      <c r="E26" s="9"/>
      <c r="F26" s="9"/>
      <c r="G26" s="9"/>
      <c r="H26" s="9"/>
      <c r="I26" s="9"/>
    </row>
    <row r="27" spans="1:9" x14ac:dyDescent="0.2">
      <c r="A27" s="7"/>
      <c r="B27" s="4"/>
      <c r="C27" s="4"/>
      <c r="D27" s="9"/>
      <c r="E27" s="9"/>
      <c r="F27" s="9"/>
      <c r="G27" s="9"/>
      <c r="H27" s="9"/>
      <c r="I27" s="9"/>
    </row>
    <row r="28" spans="1:9" x14ac:dyDescent="0.2">
      <c r="A28" s="7"/>
      <c r="B28" s="4"/>
      <c r="C28" s="4"/>
      <c r="D28" s="9"/>
      <c r="E28" s="9"/>
      <c r="F28" s="9"/>
      <c r="G28" s="9"/>
      <c r="H28" s="9"/>
      <c r="I28" s="9"/>
    </row>
  </sheetData>
  <conditionalFormatting sqref="D1:I28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2:I28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Phillip</dc:creator>
  <cp:lastModifiedBy>Zhou, Phillip</cp:lastModifiedBy>
  <dcterms:created xsi:type="dcterms:W3CDTF">2025-08-16T19:11:51Z</dcterms:created>
  <dcterms:modified xsi:type="dcterms:W3CDTF">2025-08-16T20:22:50Z</dcterms:modified>
</cp:coreProperties>
</file>